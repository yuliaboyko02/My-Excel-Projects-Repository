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67" documentId="8_{244C8E35-DAB8-414E-8848-0040370C00FC}" xr6:coauthVersionLast="47" xr6:coauthVersionMax="47" xr10:uidLastSave="{08D29E0B-08A3-40DC-8EE6-5DF59402F77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H27" i="3"/>
  <c r="G27" i="3"/>
  <c r="F27" i="3"/>
  <c r="G25" i="3"/>
  <c r="F25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<sst xmlns="http://schemas.openxmlformats.org/spreadsheetml/2006/main" count="99" uniqueCount="42">
  <si>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</si>
  <si>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</si>
  <si>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</si>
  <si>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</si>
  <si>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</si>
  <si>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</si>
  <si>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</si>
  <si>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</si>
  <si>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</si>
  <si>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</si>
  <si>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</si>
  <si>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</si>
  <si>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</si>
  <si>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</si>
  <si>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</si>
  <si>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</si>
  <si>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</si>
  <si>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</si>
  <si>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</si>
  <si>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</si>
  <si>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</si>
  <si>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</si>
  <si>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</si>
  <si>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</si>
  <si>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</si>
  <si>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</si>
  <si>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</si>
  <si>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</si>
  <si>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</si>
  <si>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</si>
  <si>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to HMRC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</si>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</sst>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4" workbookViewId="0">
      <selection activeCell="L14" sqref="L14"/>
    </sheetView>
  </sheetViews>
  <sheetFormatPr defaultRowHeight="15"/>
  <cols>
    <col min="1" max="1" width="16.7109375" bestFit="1" customWidth="1"/>
    <col min="2" max="7" width="9.140625" bestFit="1" customWidth="1"/>
    <col min="8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sheet="1" objects="1" scenarios="1" pivotTables="0"/>
  <protectedRanges>
    <protectedRange sqref="B12:O16" name="Manager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D8" sqref="D8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  <c r="F2" s="17" t="s">
        <v>30</v>
      </c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5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6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7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8</v>
      </c>
      <c r="B7" t="s">
        <v>38</v>
      </c>
      <c r="C7" s="26">
        <v>23562</v>
      </c>
      <c r="D7" t="s">
        <v>36</v>
      </c>
    </row>
    <row r="8" spans="1:10">
      <c r="A8" t="s">
        <v>9</v>
      </c>
      <c r="B8" t="s">
        <v>35</v>
      </c>
      <c r="C8" s="26">
        <v>19888</v>
      </c>
      <c r="D8" t="s">
        <v>39</v>
      </c>
    </row>
    <row r="9" spans="1:10">
      <c r="A9" t="s">
        <v>10</v>
      </c>
      <c r="B9" t="s">
        <v>35</v>
      </c>
      <c r="C9" s="26">
        <v>32918</v>
      </c>
      <c r="D9" t="s">
        <v>37</v>
      </c>
      <c r="J9" s="19"/>
    </row>
    <row r="10" spans="1:10">
      <c r="A10" t="s">
        <v>11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12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13</v>
      </c>
      <c r="B12" t="s">
        <v>35</v>
      </c>
      <c r="C12" s="26">
        <v>38296</v>
      </c>
      <c r="D12" t="s">
        <v>37</v>
      </c>
    </row>
    <row r="13" spans="1:10">
      <c r="A13" t="s">
        <v>14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15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16</v>
      </c>
      <c r="B15" t="s">
        <v>38</v>
      </c>
      <c r="C15" s="26">
        <v>20850</v>
      </c>
      <c r="D15" t="s">
        <v>37</v>
      </c>
    </row>
    <row r="16" spans="1:10">
      <c r="A16" t="s">
        <v>17</v>
      </c>
      <c r="B16" t="s">
        <v>35</v>
      </c>
      <c r="C16" s="26">
        <v>19345</v>
      </c>
      <c r="D16" t="s">
        <v>37</v>
      </c>
    </row>
    <row r="17" spans="1:10">
      <c r="A17" t="s">
        <v>18</v>
      </c>
      <c r="B17" t="s">
        <v>38</v>
      </c>
      <c r="C17" s="26">
        <v>38158</v>
      </c>
      <c r="D17" t="s">
        <v>36</v>
      </c>
    </row>
    <row r="18" spans="1:10">
      <c r="A18" s="6" t="s">
        <v>26</v>
      </c>
      <c r="B18" s="6"/>
      <c r="C18" s="27">
        <f>SUM(C4:C17)</f>
        <v>391056</v>
      </c>
      <c r="D18" s="6"/>
    </row>
    <row r="20" spans="1:10">
      <c r="A20" s="3" t="s">
        <v>34</v>
      </c>
      <c r="B20" s="3" t="s">
        <v>33</v>
      </c>
      <c r="C20" s="3" t="s">
        <v>40</v>
      </c>
      <c r="F20" t="s">
        <v>36</v>
      </c>
      <c r="G20" t="s">
        <v>37</v>
      </c>
      <c r="H20" t="s">
        <v>39</v>
      </c>
      <c r="J20" s="3" t="s">
        <v>33</v>
      </c>
    </row>
    <row r="21" spans="1:10">
      <c r="A21" t="s">
        <v>36</v>
      </c>
      <c r="B21" s="25">
        <f>SUMIF($D$4:$D$17,A21,$C$4:$C$17)</f>
        <v>179898</v>
      </c>
      <c r="C21">
        <f>COUNTIF($D$4:$D$17,A21)</f>
        <v>6</v>
      </c>
      <c r="J21" s="3" t="s">
        <v>40</v>
      </c>
    </row>
    <row r="22" spans="1:10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10">
      <c r="A23" t="s">
        <v>39</v>
      </c>
      <c r="B23" s="25">
        <f t="shared" si="0"/>
        <v>73601</v>
      </c>
      <c r="C23">
        <f t="shared" si="1"/>
        <v>3</v>
      </c>
    </row>
    <row r="24" spans="1:10">
      <c r="A24" s="6" t="s">
        <v>41</v>
      </c>
      <c r="B24" s="28">
        <f>SUM(B21:B23)</f>
        <v>391056</v>
      </c>
      <c r="C24" s="7">
        <f>SUM(C21:C23)</f>
        <v>14</v>
      </c>
    </row>
    <row r="25" spans="1:10">
      <c r="F25" s="25">
        <f>SUMIF($B$4:$B$17,F24,$C$4:$C$17)</f>
        <v>0</v>
      </c>
      <c r="G25" s="25">
        <f>SUMIF($B$4:$B$17,G24,$C$4:$C$17)</f>
        <v>0</v>
      </c>
    </row>
    <row r="26" spans="1:10">
      <c r="A26" s="3" t="s">
        <v>32</v>
      </c>
      <c r="B26" s="3" t="s">
        <v>33</v>
      </c>
      <c r="C26" s="3" t="s">
        <v>40</v>
      </c>
    </row>
    <row r="27" spans="1:10">
      <c r="A27" t="s">
        <v>35</v>
      </c>
      <c r="B27" s="25">
        <f>SUMIF($B$4:$B$17,A27,$C$4:$C$17)</f>
        <v>253587</v>
      </c>
      <c r="C27">
        <f>COUNTIF(B4:B17,A27)</f>
        <v>9</v>
      </c>
      <c r="F27" s="25">
        <f>SUMIF($D$4:$D$17,F26,$C$4:$C$17)</f>
        <v>0</v>
      </c>
      <c r="G27" s="25">
        <f>SUMIF($D$4:$D$17,G26,$C$4:$C$17)</f>
        <v>0</v>
      </c>
      <c r="H27" s="25">
        <f>SUMIF($D$4:$D$17,H26,$C$4:$C$17)</f>
        <v>0</v>
      </c>
    </row>
    <row r="28" spans="1:10">
      <c r="A28" t="s">
        <v>38</v>
      </c>
      <c r="B28" s="25">
        <f>SUMIF($B$4:$B$17,A28,$C$4:$C$17)</f>
        <v>137469</v>
      </c>
      <c r="C28">
        <f>COUNTIF(B5:B17,A28)</f>
        <v>5</v>
      </c>
    </row>
    <row r="29" spans="1:10">
      <c r="A29" s="6" t="s">
        <v>41</v>
      </c>
      <c r="B29" s="28">
        <f>SUM(B27:B28)</f>
        <v>391056</v>
      </c>
      <c r="C29" s="7">
        <f>SUM(C27:C28)</f>
        <v>14</v>
      </c>
      <c r="F29">
        <f>SUMIF($D$4:$D$17,E29,$C$4:$C$17)</f>
        <v>0</v>
      </c>
    </row>
    <row r="30" spans="1:10">
      <c r="F30">
        <f t="shared" ref="F30:F31" si="2">SUMIF($D$4:$D$17,E30,$C$4:$C$17)</f>
        <v>0</v>
      </c>
    </row>
    <row r="31" spans="1:10">
      <c r="F31">
        <f t="shared" si="2"/>
        <v>0</v>
      </c>
    </row>
  </sheetData>
  <dataValidations count="3">
    <dataValidation type="whole" allowBlank="1" showInputMessage="1" showErrorMessage="1" error="Enter an integer" prompt="Enter between 1-100000" sqref="G10:G19 G21" xr:uid="{2816E357-1154-4530-958D-821BA6D1DA63}">
      <formula1>1</formula1>
      <formula2>100000</formula2>
    </dataValidation>
    <dataValidation type="list" allowBlank="1" showInputMessage="1" showErrorMessage="1" sqref="H10:H19 H21" xr:uid="{B6F972AE-10F7-4D1C-82FA-F2D3CF253F36}">
      <formula1>"Eligible, Not Eligible"</formula1>
    </dataValidation>
    <dataValidation type="list" allowBlank="1" showInputMessage="1" showErrorMessage="1" sqref="D4:D17" xr:uid="{D24AB0D4-0508-4025-987A-03C61E140D83}">
      <formula1>"Sales, Logistics, Purchasing"</formula1>
    </dataValidation>
  </dataValidations>
  <hyperlinks>
    <hyperlink ref="F2" r:id="rId1" xr:uid="{E32962CD-E8E5-4E69-B0F0-D585CF4B3CC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D046EBA4-A48F-4B87-983F-C1DC2C25D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Yulia Boyko</cp:lastModifiedBy>
  <cp:revision/>
  <dcterms:created xsi:type="dcterms:W3CDTF">2009-08-25T13:44:58Z</dcterms:created>
  <dcterms:modified xsi:type="dcterms:W3CDTF">2026-05-08T11:22:16Z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